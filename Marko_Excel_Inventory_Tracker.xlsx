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rack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'Inventory Tracker'!$A$4:$J$14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8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oryTable" displayName="InventoryTable" ref="A4:J14" headerRowCount="1">
  <autoFilter ref="A4:J14"/>
  <tableColumns count="10">
    <tableColumn id="1" name="SKU"/>
    <tableColumn id="2" name="Product Name"/>
    <tableColumn id="3" name="Category"/>
    <tableColumn id="4" name="Supplier"/>
    <tableColumn id="5" name="Unit Cost (₱)"/>
    <tableColumn id="6" name="Stock Qty"/>
    <tableColumn id="7" name="Reorder Level"/>
    <tableColumn id="8" name="Stock Status"/>
    <tableColumn id="9" name="Inventory Value (₱)"/>
    <tableColumn id="10" name="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12" customWidth="1" min="6" max="6"/>
    <col width="15" customWidth="1" min="7" max="7"/>
    <col width="17" customWidth="1" min="8" max="8"/>
    <col width="22" customWidth="1" min="9" max="9"/>
    <col width="16" customWidth="1" min="10" max="10"/>
  </cols>
  <sheetData>
    <row r="1">
      <c r="A1" s="1" t="inlineStr">
        <is>
          <t>E-commerce Inventory Tracker</t>
        </is>
      </c>
    </row>
    <row r="2">
      <c r="A2" s="2" t="inlineStr">
        <is>
          <t>Portfolio sample using fictional inventory data</t>
        </is>
      </c>
    </row>
    <row r="4">
      <c r="A4" s="3" t="inlineStr">
        <is>
          <t>SKU</t>
        </is>
      </c>
      <c r="B4" s="3" t="inlineStr">
        <is>
          <t>Product Name</t>
        </is>
      </c>
      <c r="C4" s="3" t="inlineStr">
        <is>
          <t>Category</t>
        </is>
      </c>
      <c r="D4" s="3" t="inlineStr">
        <is>
          <t>Supplier</t>
        </is>
      </c>
      <c r="E4" s="3" t="inlineStr">
        <is>
          <t>Unit Cost (₱)</t>
        </is>
      </c>
      <c r="F4" s="3" t="inlineStr">
        <is>
          <t>Stock Qty</t>
        </is>
      </c>
      <c r="G4" s="3" t="inlineStr">
        <is>
          <t>Reorder Level</t>
        </is>
      </c>
      <c r="H4" s="3" t="inlineStr">
        <is>
          <t>Stock Status</t>
        </is>
      </c>
      <c r="I4" s="3" t="inlineStr">
        <is>
          <t>Inventory Value (₱)</t>
        </is>
      </c>
      <c r="J4" s="3" t="inlineStr">
        <is>
          <t>Last Updated</t>
        </is>
      </c>
    </row>
    <row r="5">
      <c r="A5" s="4" t="inlineStr">
        <is>
          <t>DRY-001</t>
        </is>
      </c>
      <c r="B5" s="4" t="inlineStr">
        <is>
          <t>Dry Bag 20L</t>
        </is>
      </c>
      <c r="C5" s="4" t="inlineStr">
        <is>
          <t>Dry Bags</t>
        </is>
      </c>
      <c r="D5" s="4" t="inlineStr">
        <is>
          <t>OceanGear Supply</t>
        </is>
      </c>
      <c r="E5" s="5" t="n">
        <v>850</v>
      </c>
      <c r="F5" s="4" t="n">
        <v>24</v>
      </c>
      <c r="G5" s="4" t="n">
        <v>10</v>
      </c>
      <c r="H5" s="4">
        <f>IF(F5=0,"OUT OF STOCK",IF(F5&lt;=G5,"REORDER","IN STOCK"))</f>
        <v/>
      </c>
      <c r="I5" s="5">
        <f>E5*F5</f>
        <v/>
      </c>
      <c r="J5" s="6" t="inlineStr">
        <is>
          <t>2026-10-01</t>
        </is>
      </c>
    </row>
    <row r="6">
      <c r="A6" s="4" t="inlineStr">
        <is>
          <t>FIN-002</t>
        </is>
      </c>
      <c r="B6" s="4" t="inlineStr">
        <is>
          <t>Adjustable Dive Fins</t>
        </is>
      </c>
      <c r="C6" s="4" t="inlineStr">
        <is>
          <t>Dive Gear</t>
        </is>
      </c>
      <c r="D6" s="4" t="inlineStr">
        <is>
          <t>AquaPro Asia</t>
        </is>
      </c>
      <c r="E6" s="5" t="n">
        <v>1450</v>
      </c>
      <c r="F6" s="4" t="n">
        <v>8</v>
      </c>
      <c r="G6" s="4" t="n">
        <v>10</v>
      </c>
      <c r="H6" s="4">
        <f>IF(F6=0,"OUT OF STOCK",IF(F6&lt;=G6,"REORDER","IN STOCK"))</f>
        <v/>
      </c>
      <c r="I6" s="5">
        <f>E6*F6</f>
        <v/>
      </c>
      <c r="J6" s="6" t="inlineStr">
        <is>
          <t>2026-10-01</t>
        </is>
      </c>
    </row>
    <row r="7">
      <c r="A7" s="4" t="inlineStr">
        <is>
          <t>MSK-003</t>
        </is>
      </c>
      <c r="B7" s="4" t="inlineStr">
        <is>
          <t>Silicone Dive Mask</t>
        </is>
      </c>
      <c r="C7" s="4" t="inlineStr">
        <is>
          <t>Masks</t>
        </is>
      </c>
      <c r="D7" s="4" t="inlineStr">
        <is>
          <t>AquaPro Asia</t>
        </is>
      </c>
      <c r="E7" s="5" t="n">
        <v>980</v>
      </c>
      <c r="F7" s="4" t="n">
        <v>17</v>
      </c>
      <c r="G7" s="4" t="n">
        <v>8</v>
      </c>
      <c r="H7" s="4">
        <f>IF(F7=0,"OUT OF STOCK",IF(F7&lt;=G7,"REORDER","IN STOCK"))</f>
        <v/>
      </c>
      <c r="I7" s="5">
        <f>E7*F7</f>
        <v/>
      </c>
      <c r="J7" s="6" t="inlineStr">
        <is>
          <t>2026-10-01</t>
        </is>
      </c>
    </row>
    <row r="8">
      <c r="A8" s="4" t="inlineStr">
        <is>
          <t>SNK-004</t>
        </is>
      </c>
      <c r="B8" s="4" t="inlineStr">
        <is>
          <t>Neoprene Socks</t>
        </is>
      </c>
      <c r="C8" s="4" t="inlineStr">
        <is>
          <t>Accessories</t>
        </is>
      </c>
      <c r="D8" s="4" t="inlineStr">
        <is>
          <t>Pacific Sports</t>
        </is>
      </c>
      <c r="E8" s="5" t="n">
        <v>520</v>
      </c>
      <c r="F8" s="4" t="n">
        <v>5</v>
      </c>
      <c r="G8" s="4" t="n">
        <v>8</v>
      </c>
      <c r="H8" s="4">
        <f>IF(F8=0,"OUT OF STOCK",IF(F8&lt;=G8,"REORDER","IN STOCK"))</f>
        <v/>
      </c>
      <c r="I8" s="5">
        <f>E8*F8</f>
        <v/>
      </c>
      <c r="J8" s="6" t="inlineStr">
        <is>
          <t>2026-10-01</t>
        </is>
      </c>
    </row>
    <row r="9">
      <c r="A9" s="4" t="inlineStr">
        <is>
          <t>LGT-005</t>
        </is>
      </c>
      <c r="B9" s="4" t="inlineStr">
        <is>
          <t>Rechargeable Dive Light</t>
        </is>
      </c>
      <c r="C9" s="4" t="inlineStr">
        <is>
          <t>Equipment</t>
        </is>
      </c>
      <c r="D9" s="4" t="inlineStr">
        <is>
          <t>OceanGear Supply</t>
        </is>
      </c>
      <c r="E9" s="5" t="n">
        <v>2100</v>
      </c>
      <c r="F9" s="4" t="n">
        <v>12</v>
      </c>
      <c r="G9" s="4" t="n">
        <v>5</v>
      </c>
      <c r="H9" s="4">
        <f>IF(F9=0,"OUT OF STOCK",IF(F9&lt;=G9,"REORDER","IN STOCK"))</f>
        <v/>
      </c>
      <c r="I9" s="5">
        <f>E9*F9</f>
        <v/>
      </c>
      <c r="J9" s="6" t="inlineStr">
        <is>
          <t>2026-10-01</t>
        </is>
      </c>
    </row>
    <row r="10">
      <c r="A10" s="4" t="inlineStr">
        <is>
          <t>GLV-006</t>
        </is>
      </c>
      <c r="B10" s="4" t="inlineStr">
        <is>
          <t>Neoprene Gloves</t>
        </is>
      </c>
      <c r="C10" s="4" t="inlineStr">
        <is>
          <t>Accessories</t>
        </is>
      </c>
      <c r="D10" s="4" t="inlineStr">
        <is>
          <t>Pacific Sports</t>
        </is>
      </c>
      <c r="E10" s="5" t="n">
        <v>690</v>
      </c>
      <c r="F10" s="4" t="n">
        <v>3</v>
      </c>
      <c r="G10" s="4" t="n">
        <v>6</v>
      </c>
      <c r="H10" s="4">
        <f>IF(F10=0,"OUT OF STOCK",IF(F10&lt;=G10,"REORDER","IN STOCK"))</f>
        <v/>
      </c>
      <c r="I10" s="5">
        <f>E10*F10</f>
        <v/>
      </c>
      <c r="J10" s="6" t="inlineStr">
        <is>
          <t>2026-10-01</t>
        </is>
      </c>
    </row>
    <row r="11">
      <c r="A11" s="4" t="inlineStr">
        <is>
          <t>REG-007</t>
        </is>
      </c>
      <c r="B11" s="4" t="inlineStr">
        <is>
          <t>Dive Regulator Set</t>
        </is>
      </c>
      <c r="C11" s="4" t="inlineStr">
        <is>
          <t>Dive Gear</t>
        </is>
      </c>
      <c r="D11" s="4" t="inlineStr">
        <is>
          <t>AquaPro Asia</t>
        </is>
      </c>
      <c r="E11" s="5" t="n">
        <v>6200</v>
      </c>
      <c r="F11" s="4" t="n">
        <v>4</v>
      </c>
      <c r="G11" s="4" t="n">
        <v>3</v>
      </c>
      <c r="H11" s="4">
        <f>IF(F11=0,"OUT OF STOCK",IF(F11&lt;=G11,"REORDER","IN STOCK"))</f>
        <v/>
      </c>
      <c r="I11" s="5">
        <f>E11*F11</f>
        <v/>
      </c>
      <c r="J11" s="6" t="inlineStr">
        <is>
          <t>2026-10-01</t>
        </is>
      </c>
    </row>
    <row r="12">
      <c r="A12" s="4" t="inlineStr">
        <is>
          <t>BAG-008</t>
        </is>
      </c>
      <c r="B12" s="4" t="inlineStr">
        <is>
          <t>Equipment Mesh Bag</t>
        </is>
      </c>
      <c r="C12" s="4" t="inlineStr">
        <is>
          <t>Bags</t>
        </is>
      </c>
      <c r="D12" s="4" t="inlineStr">
        <is>
          <t>OceanGear Supply</t>
        </is>
      </c>
      <c r="E12" s="5" t="n">
        <v>760</v>
      </c>
      <c r="F12" s="4" t="n">
        <v>14</v>
      </c>
      <c r="G12" s="4" t="n">
        <v>6</v>
      </c>
      <c r="H12" s="4">
        <f>IF(F12=0,"OUT OF STOCK",IF(F12&lt;=G12,"REORDER","IN STOCK"))</f>
        <v/>
      </c>
      <c r="I12" s="5">
        <f>E12*F12</f>
        <v/>
      </c>
      <c r="J12" s="6" t="inlineStr">
        <is>
          <t>2026-10-01</t>
        </is>
      </c>
    </row>
    <row r="13">
      <c r="A13" s="4" t="inlineStr">
        <is>
          <t>BCD-009</t>
        </is>
      </c>
      <c r="B13" s="4" t="inlineStr">
        <is>
          <t>BCD Vest</t>
        </is>
      </c>
      <c r="C13" s="4" t="inlineStr">
        <is>
          <t>Dive Gear</t>
        </is>
      </c>
      <c r="D13" s="4" t="inlineStr">
        <is>
          <t>AquaPro Asia</t>
        </is>
      </c>
      <c r="E13" s="5" t="n">
        <v>8900</v>
      </c>
      <c r="F13" s="4" t="n">
        <v>2</v>
      </c>
      <c r="G13" s="4" t="n">
        <v>3</v>
      </c>
      <c r="H13" s="4">
        <f>IF(F13=0,"OUT OF STOCK",IF(F13&lt;=G13,"REORDER","IN STOCK"))</f>
        <v/>
      </c>
      <c r="I13" s="5">
        <f>E13*F13</f>
        <v/>
      </c>
      <c r="J13" s="6" t="inlineStr">
        <is>
          <t>2026-10-01</t>
        </is>
      </c>
    </row>
    <row r="14">
      <c r="A14" s="4" t="inlineStr">
        <is>
          <t>SPF-010</t>
        </is>
      </c>
      <c r="B14" s="4" t="inlineStr">
        <is>
          <t>Reef Safe Sunscreen</t>
        </is>
      </c>
      <c r="C14" s="4" t="inlineStr">
        <is>
          <t>Care</t>
        </is>
      </c>
      <c r="D14" s="4" t="inlineStr">
        <is>
          <t>Pacific Sports</t>
        </is>
      </c>
      <c r="E14" s="5" t="n">
        <v>430</v>
      </c>
      <c r="F14" s="4" t="n">
        <v>31</v>
      </c>
      <c r="G14" s="4" t="n">
        <v>12</v>
      </c>
      <c r="H14" s="4">
        <f>IF(F14=0,"OUT OF STOCK",IF(F14&lt;=G14,"REORDER","IN STOCK"))</f>
        <v/>
      </c>
      <c r="I14" s="5">
        <f>E14*F14</f>
        <v/>
      </c>
      <c r="J14" s="6" t="inlineStr">
        <is>
          <t>2026-10-01</t>
        </is>
      </c>
    </row>
  </sheetData>
  <autoFilter ref="A4:J14"/>
  <mergeCells count="2">
    <mergeCell ref="A1:J1"/>
    <mergeCell ref="A2:J2"/>
  </mergeCells>
  <conditionalFormatting sqref="H5:H14">
    <cfRule type="expression" priority="1" dxfId="0">
      <formula>H5="REORDER"</formula>
    </cfRule>
    <cfRule type="expression" priority="2" dxfId="1">
      <formula>H5="OUT OF STOCK"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7" t="inlineStr">
        <is>
          <t>Inventory Dashboard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t="inlineStr">
        <is>
          <t>Total SKUs</t>
        </is>
      </c>
      <c r="B4">
        <f>COUNTA('Inventory Tracker'!A5:A14)</f>
        <v/>
      </c>
    </row>
    <row r="5">
      <c r="A5" t="inlineStr">
        <is>
          <t>Total Units</t>
        </is>
      </c>
      <c r="B5">
        <f>SUM('Inventory Tracker'!F5:F14)</f>
        <v/>
      </c>
    </row>
    <row r="6">
      <c r="A6" t="inlineStr">
        <is>
          <t>Inventory Value</t>
        </is>
      </c>
      <c r="B6" s="9">
        <f>SUM('Inventory Tracker'!I5:I14)</f>
        <v/>
      </c>
    </row>
    <row r="7">
      <c r="A7" t="inlineStr">
        <is>
          <t>Items to Reorder</t>
        </is>
      </c>
      <c r="B7">
        <f>COUNTIF('Inventory Tracker'!H5:H14,"REORDER")</f>
        <v/>
      </c>
    </row>
    <row r="8">
      <c r="A8" t="inlineStr">
        <is>
          <t>Out of Stock</t>
        </is>
      </c>
      <c r="B8">
        <f>COUNTIF('Inventory Tracker'!H5:H14,"OUT OF STOCK")</f>
        <v/>
      </c>
    </row>
    <row r="11">
      <c r="A11" s="8" t="inlineStr">
        <is>
          <t>How this sample demonstrates</t>
        </is>
      </c>
    </row>
    <row r="12">
      <c r="A12" t="inlineStr">
        <is>
          <t>• Structured inventory records</t>
        </is>
      </c>
    </row>
    <row r="13">
      <c r="A13" t="inlineStr">
        <is>
          <t>• Formula-based stock status</t>
        </is>
      </c>
    </row>
    <row r="14">
      <c r="A14" t="inlineStr">
        <is>
          <t>• Automatic inventory value calculation</t>
        </is>
      </c>
    </row>
    <row r="15">
      <c r="A15" t="inlineStr">
        <is>
          <t>• Reorder monitoring</t>
        </is>
      </c>
    </row>
    <row r="16">
      <c r="A16" t="inlineStr">
        <is>
          <t>• Basic operational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2026-10-01T05:02:03Z</dcterms:created>
  <dcterms:modified xmlns:dcterms="http://purl.org/dc/terms/" xmlns:xsi="http://www.w3.org/2001/XMLSchema-instance" xsi:type="dcterms:W3CDTF">2026-10-01T05:02:03Z</dcterms:modified>
</cp:coreProperties>
</file>